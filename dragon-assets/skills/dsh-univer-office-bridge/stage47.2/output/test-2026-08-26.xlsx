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估值快照" sheetId="1" state="visible" r:id="rId1"/>
    <sheet xmlns:r="http://schemas.openxmlformats.org/officeDocument/2006/relationships" name="2_财报三表" sheetId="2" state="visible" r:id="rId2"/>
    <sheet xmlns:r="http://schemas.openxmlformats.org/officeDocument/2006/relationships" name="3_季报关键指标" sheetId="3" state="visible" r:id="rId3"/>
    <sheet xmlns:r="http://schemas.openxmlformats.org/officeDocument/2006/relationships" name="4_资金流与持仓" sheetId="4" state="visible" r:id="rId4"/>
    <sheet xmlns:r="http://schemas.openxmlformats.org/officeDocument/2006/relationships" name="5_投资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C0392B"/>
    </font>
    <font>
      <i val="1"/>
      <color rgb="00888888"/>
    </font>
    <font>
      <color rgb="00BBBBBB"/>
    </font>
    <font>
      <b val="1"/>
      <color rgb="002E5C8A"/>
    </font>
    <font>
      <b val="1"/>
      <color rgb="002E5C8A"/>
      <sz val="12"/>
    </font>
    <font>
      <b val="1"/>
      <color rgb="00C0392B"/>
      <sz val="12"/>
    </font>
    <font>
      <b val="1"/>
    </font>
    <font>
      <b val="1"/>
      <color rgb="002E5C8A"/>
      <sz val="14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0" fontId="7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资产负债表构成（亿元）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'2_财报三表'!$A$2:$A$9</f>
            </numRef>
          </cat>
          <val>
            <numRef>
              <f>'2_财报三表'!$B$1:$B$9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来源</t>
        </is>
      </c>
      <c r="D1" s="1" t="inlineStr">
        <is>
          <t>备注</t>
        </is>
      </c>
    </row>
    <row r="2">
      <c r="A2" t="inlineStr">
        <is>
          <t>股票代码</t>
        </is>
      </c>
      <c r="B2" t="inlineStr">
        <is>
          <t>600519.SH</t>
        </is>
      </c>
      <c r="C2" t="inlineStr">
        <is>
          <t>eastmoney</t>
        </is>
      </c>
      <c r="D2" t="inlineStr"/>
    </row>
    <row r="3">
      <c r="A3" t="inlineStr">
        <is>
          <t>股票名称</t>
        </is>
      </c>
      <c r="B3" t="inlineStr">
        <is>
          <t>贵州茅台</t>
        </is>
      </c>
      <c r="C3" t="inlineStr">
        <is>
          <t>eastmoney</t>
        </is>
      </c>
      <c r="D3" t="inlineStr"/>
    </row>
    <row r="4">
      <c r="A4" t="inlineStr">
        <is>
          <t>PE(TTM)</t>
        </is>
      </c>
      <c r="B4" t="n">
        <v>27.5</v>
      </c>
      <c r="C4" t="inlineStr">
        <is>
          <t>eastmoney</t>
        </is>
      </c>
      <c r="D4" t="inlineStr">
        <is>
          <t>市盈率(滚动 12 月)</t>
        </is>
      </c>
    </row>
    <row r="5">
      <c r="A5" t="inlineStr">
        <is>
          <t>PE(静态)</t>
        </is>
      </c>
      <c r="B5" t="n">
        <v>28.3</v>
      </c>
      <c r="C5" t="inlineStr">
        <is>
          <t>eastmoney</t>
        </is>
      </c>
      <c r="D5" t="inlineStr">
        <is>
          <t>市盈率(去年)</t>
        </is>
      </c>
    </row>
    <row r="6">
      <c r="A6" t="inlineStr">
        <is>
          <t>PB</t>
        </is>
      </c>
      <c r="B6" t="n">
        <v>8.9</v>
      </c>
      <c r="C6" t="inlineStr">
        <is>
          <t>eastmoney</t>
        </is>
      </c>
      <c r="D6" t="inlineStr">
        <is>
          <t>市净率</t>
        </is>
      </c>
    </row>
    <row r="7">
      <c r="A7" t="inlineStr">
        <is>
          <t>市值(亿元)</t>
        </is>
      </c>
      <c r="B7" t="n">
        <v>16500</v>
      </c>
      <c r="C7" t="inlineStr">
        <is>
          <t>eastmoney</t>
        </is>
      </c>
      <c r="D7" t="inlineStr"/>
    </row>
    <row r="8">
      <c r="A8" t="inlineStr">
        <is>
          <t>行业 PE</t>
        </is>
      </c>
      <c r="B8" t="n">
        <v>32.1</v>
      </c>
      <c r="C8" t="inlineStr">
        <is>
          <t>eastmoney</t>
        </is>
      </c>
      <c r="D8" t="inlineStr">
        <is>
          <t>对照基准</t>
        </is>
      </c>
    </row>
    <row r="9">
      <c r="A9" t="inlineStr">
        <is>
          <t>相对估值(PE_TTM/行业_PE)</t>
        </is>
      </c>
      <c r="B9">
        <f>B4/B8</f>
        <v/>
      </c>
      <c r="C9" t="inlineStr">
        <is>
          <t>公式</t>
        </is>
      </c>
      <c r="D9" t="inlineStr">
        <is>
          <t>本表内公式</t>
        </is>
      </c>
    </row>
    <row r="10">
      <c r="A10" t="inlineStr">
        <is>
          <t>一致预期 EPS 2025E</t>
        </is>
      </c>
      <c r="B10" t="n">
        <v>68.5</v>
      </c>
      <c r="C10" t="inlineStr">
        <is>
          <t>iwencai</t>
        </is>
      </c>
      <c r="D10" t="inlineStr"/>
    </row>
    <row r="11">
      <c r="A11" t="inlineStr">
        <is>
          <t>买入/持有/卖出</t>
        </is>
      </c>
      <c r="B11" t="inlineStr">
        <is>
          <t>28/8/1</t>
        </is>
      </c>
      <c r="C11" t="inlineStr">
        <is>
          <t>iwencai</t>
        </is>
      </c>
      <c r="D11" t="inlineStr">
        <is>
          <t>37 家覆盖</t>
        </is>
      </c>
    </row>
    <row r="12">
      <c r="A12" t="inlineStr">
        <is>
          <t>目标价中位数</t>
        </is>
      </c>
      <c r="B12" t="n">
        <v>1850</v>
      </c>
      <c r="C12" t="inlineStr">
        <is>
          <t>iwencai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科目</t>
        </is>
      </c>
      <c r="B1" s="1" t="inlineStr">
        <is>
          <t>金额(元)</t>
        </is>
      </c>
      <c r="C1" s="1" t="inlineStr">
        <is>
          <t>占比</t>
        </is>
      </c>
      <c r="D1" s="1" t="inlineStr">
        <is>
          <t>来源</t>
        </is>
      </c>
    </row>
    <row r="2">
      <c r="A2" s="2" t="inlineStr">
        <is>
          <t>总资产</t>
        </is>
      </c>
      <c r="B2" t="n">
        <v>285000000000</v>
      </c>
      <c r="C2" s="3">
        <f>B2/$B$2</f>
        <v/>
      </c>
      <c r="D2" t="inlineStr">
        <is>
          <t>mootdx</t>
        </is>
      </c>
    </row>
    <row r="3">
      <c r="A3" s="2" t="inlineStr">
        <is>
          <t>总负债</t>
        </is>
      </c>
      <c r="B3" t="n">
        <v>41800000000</v>
      </c>
      <c r="C3" s="3">
        <f>B3/$B$2</f>
        <v/>
      </c>
      <c r="D3" t="inlineStr">
        <is>
          <t>mootdx</t>
        </is>
      </c>
    </row>
    <row r="4">
      <c r="A4" s="2" t="inlineStr">
        <is>
          <t>股东权益</t>
        </is>
      </c>
      <c r="B4" t="n">
        <v>243000000000</v>
      </c>
      <c r="C4" s="3">
        <f>B4/$B$2</f>
        <v/>
      </c>
      <c r="D4" t="inlineStr">
        <is>
          <t>mootdx</t>
        </is>
      </c>
    </row>
    <row r="5">
      <c r="A5" s="2" t="inlineStr">
        <is>
          <t>流动资产</t>
        </is>
      </c>
      <c r="B5" t="n">
        <v>210000000000</v>
      </c>
      <c r="C5" s="3">
        <f>B5/$B$2</f>
        <v/>
      </c>
      <c r="D5" t="inlineStr">
        <is>
          <t>mootdx</t>
        </is>
      </c>
    </row>
    <row r="6">
      <c r="A6" s="2" t="inlineStr">
        <is>
          <t>流动负债</t>
        </is>
      </c>
      <c r="B6" t="n">
        <v>38500000000</v>
      </c>
      <c r="C6" s="3">
        <f>B6/$B$2</f>
        <v/>
      </c>
      <c r="D6" t="inlineStr">
        <is>
          <t>mootdx</t>
        </is>
      </c>
    </row>
    <row r="7">
      <c r="A7" s="2" t="inlineStr">
        <is>
          <t>现金及等价物</t>
        </is>
      </c>
      <c r="B7" t="n">
        <v>14500000000</v>
      </c>
      <c r="C7" s="3">
        <f>B7/$B$2</f>
        <v/>
      </c>
      <c r="D7" t="inlineStr">
        <is>
          <t>mootdx</t>
        </is>
      </c>
    </row>
    <row r="8">
      <c r="A8" s="2" t="inlineStr">
        <is>
          <t>存货</t>
        </is>
      </c>
      <c r="B8" t="n">
        <v>42000000000</v>
      </c>
      <c r="C8" s="3">
        <f>B8/$B$2</f>
        <v/>
      </c>
      <c r="D8" t="inlineStr">
        <is>
          <t>mootdx</t>
        </is>
      </c>
    </row>
    <row r="9">
      <c r="A9" s="2" t="inlineStr">
        <is>
          <t>应收账款</t>
        </is>
      </c>
      <c r="B9" t="n">
        <v>1200000000</v>
      </c>
      <c r="C9" s="3">
        <f>B9/$B$2</f>
        <v/>
      </c>
      <c r="D9" t="inlineStr">
        <is>
          <t>mootdx</t>
        </is>
      </c>
    </row>
    <row r="10">
      <c r="A10" s="2" t="inlineStr">
        <is>
          <t>营业收入</t>
        </is>
      </c>
      <c r="B10" t="n">
        <v>174000000000</v>
      </c>
      <c r="C10" s="3">
        <f>B10/$B$2</f>
        <v/>
      </c>
      <c r="D10" t="inlineStr">
        <is>
          <t>mootdx</t>
        </is>
      </c>
    </row>
    <row r="11">
      <c r="A11" s="2" t="inlineStr">
        <is>
          <t>营业成本</t>
        </is>
      </c>
      <c r="B11" t="n">
        <v>43000000000</v>
      </c>
      <c r="C11" s="3">
        <f>B11/$B$2</f>
        <v/>
      </c>
      <c r="D11" t="inlineStr">
        <is>
          <t>mootdx</t>
        </is>
      </c>
    </row>
    <row r="12">
      <c r="A12" s="2" t="inlineStr">
        <is>
          <t>毛利</t>
        </is>
      </c>
      <c r="B12" t="n">
        <v>131000000000</v>
      </c>
      <c r="C12" s="3">
        <f>B12/$B$2</f>
        <v/>
      </c>
      <c r="D12" t="inlineStr">
        <is>
          <t>mootdx</t>
        </is>
      </c>
    </row>
    <row r="13">
      <c r="A13" s="2" t="inlineStr">
        <is>
          <t>营业费用</t>
        </is>
      </c>
      <c r="B13" t="n">
        <v>18000000000</v>
      </c>
      <c r="C13" s="3">
        <f>B13/$B$2</f>
        <v/>
      </c>
      <c r="D13" t="inlineStr">
        <is>
          <t>mootdx</t>
        </is>
      </c>
    </row>
    <row r="14">
      <c r="A14" s="2" t="inlineStr">
        <is>
          <t>营业利润</t>
        </is>
      </c>
      <c r="B14" t="n">
        <v>113000000000</v>
      </c>
      <c r="C14" s="3">
        <f>B14/$B$2</f>
        <v/>
      </c>
      <c r="D14" t="inlineStr">
        <is>
          <t>mootdx</t>
        </is>
      </c>
    </row>
    <row r="15">
      <c r="A15" s="2" t="inlineStr">
        <is>
          <t>净利润</t>
        </is>
      </c>
      <c r="B15" t="n">
        <v>64800000000</v>
      </c>
      <c r="C15" s="3">
        <f>B15/$B$2</f>
        <v/>
      </c>
      <c r="D15" t="inlineStr">
        <is>
          <t>mootdx</t>
        </is>
      </c>
    </row>
    <row r="16">
      <c r="A16" s="2" t="inlineStr">
        <is>
          <t>经营性现金流</t>
        </is>
      </c>
      <c r="B16" t="n">
        <v>68500000000</v>
      </c>
      <c r="C16" s="3">
        <f>B16/$B$2</f>
        <v/>
      </c>
      <c r="D16" t="inlineStr">
        <is>
          <t>mootdx</t>
        </is>
      </c>
    </row>
    <row r="17">
      <c r="A17" s="2" t="inlineStr">
        <is>
          <t>投资性现金流</t>
        </is>
      </c>
      <c r="B17" t="n">
        <v>-12000000000</v>
      </c>
      <c r="C17" s="3">
        <f>B17/$B$2</f>
        <v/>
      </c>
      <c r="D17" t="inlineStr">
        <is>
          <t>mootdx</t>
        </is>
      </c>
    </row>
    <row r="18">
      <c r="A18" s="2" t="inlineStr">
        <is>
          <t>筹资性现金流</t>
        </is>
      </c>
      <c r="B18" t="n">
        <v>-39500000000</v>
      </c>
      <c r="C18" s="3">
        <f>B18/$B$2</f>
        <v/>
      </c>
      <c r="D18" t="inlineStr">
        <is>
          <t>mootdx</t>
        </is>
      </c>
    </row>
    <row r="19">
      <c r="A19" s="2" t="inlineStr">
        <is>
          <t>自由现金流</t>
        </is>
      </c>
      <c r="B19" t="n">
        <v>56500000000</v>
      </c>
      <c r="C19" s="3">
        <f>B19/$B$2</f>
        <v/>
      </c>
      <c r="D19" t="inlineStr">
        <is>
          <t>mootdx</t>
        </is>
      </c>
    </row>
    <row r="21">
      <c r="A21" s="4">
        <f>== 关键比率（自动算）===</f>
        <v/>
      </c>
    </row>
    <row r="22">
      <c r="A22" s="2" t="inlineStr">
        <is>
          <t>资产负债率</t>
        </is>
      </c>
      <c r="B22" s="5">
        <f>B3/B2</f>
        <v/>
      </c>
    </row>
    <row r="23">
      <c r="A23" s="2" t="inlineStr">
        <is>
          <t>流动比率</t>
        </is>
      </c>
      <c r="B23" s="6">
        <f>B5/B6</f>
        <v/>
      </c>
    </row>
    <row r="24">
      <c r="A24" s="2" t="inlineStr">
        <is>
          <t>毛利率</t>
        </is>
      </c>
      <c r="B24" s="5">
        <f>B12/B10</f>
        <v/>
      </c>
    </row>
    <row r="25">
      <c r="A25" s="2" t="inlineStr">
        <is>
          <t>净利率</t>
        </is>
      </c>
      <c r="B25" s="5">
        <f>B15/B10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</t>
        </is>
      </c>
      <c r="D1" s="1" t="inlineStr">
        <is>
          <t>来源</t>
        </is>
      </c>
      <c r="F1" s="7" t="inlineStr">
        <is>
          <t>上季度对照（模拟）</t>
        </is>
      </c>
    </row>
    <row r="2">
      <c r="A2" s="2" t="inlineStr">
        <is>
          <t>营收同比</t>
        </is>
      </c>
      <c r="B2" t="n">
        <v>0.182</v>
      </c>
      <c r="C2" s="3">
        <f>B2-G2</f>
        <v/>
      </c>
      <c r="D2" t="inlineStr">
        <is>
          <t>mootdx</t>
        </is>
      </c>
      <c r="G2" s="8" t="n">
        <v>0.15</v>
      </c>
    </row>
    <row r="3">
      <c r="A3" s="2" t="inlineStr">
        <is>
          <t>净利同比</t>
        </is>
      </c>
      <c r="B3" t="n">
        <v>0.247</v>
      </c>
      <c r="C3" s="3">
        <f>B3-G3</f>
        <v/>
      </c>
      <c r="D3" t="inlineStr">
        <is>
          <t>mootdx</t>
        </is>
      </c>
      <c r="G3" s="8" t="n">
        <v>0.19</v>
      </c>
    </row>
    <row r="4">
      <c r="A4" s="2" t="inlineStr">
        <is>
          <t>毛利率</t>
        </is>
      </c>
      <c r="B4" s="5" t="n">
        <v>0.753</v>
      </c>
      <c r="C4" s="3">
        <f>B4-G4</f>
        <v/>
      </c>
      <c r="D4" t="inlineStr">
        <is>
          <t>mootdx</t>
        </is>
      </c>
      <c r="G4" s="8" t="n">
        <v>0.74</v>
      </c>
    </row>
    <row r="5">
      <c r="A5" s="2" t="inlineStr">
        <is>
          <t>ROE</t>
        </is>
      </c>
      <c r="B5" s="5" t="n">
        <v>0.265</v>
      </c>
      <c r="C5" s="3">
        <f>B5-G5</f>
        <v/>
      </c>
      <c r="D5" t="inlineStr">
        <is>
          <t>mootdx</t>
        </is>
      </c>
      <c r="G5" s="8" t="n">
        <v>0.25</v>
      </c>
    </row>
    <row r="6">
      <c r="A6" s="2" t="inlineStr">
        <is>
          <t>ROA</t>
        </is>
      </c>
      <c r="B6" s="5" t="n">
        <v>0.227</v>
      </c>
      <c r="C6" s="3">
        <f>B6-G6</f>
        <v/>
      </c>
      <c r="D6" t="inlineStr">
        <is>
          <t>mootdx</t>
        </is>
      </c>
      <c r="G6" s="8" t="n">
        <v>0.215</v>
      </c>
    </row>
    <row r="7">
      <c r="A7" s="2" t="inlineStr">
        <is>
          <t>资产负债率</t>
        </is>
      </c>
      <c r="B7" s="5" t="n">
        <v>0.147</v>
      </c>
      <c r="C7" s="3">
        <f>B7-G7</f>
        <v/>
      </c>
      <c r="D7" t="inlineStr">
        <is>
          <t>mootdx</t>
        </is>
      </c>
      <c r="G7" s="8" t="n">
        <v>0.152</v>
      </c>
    </row>
    <row r="8">
      <c r="A8" s="2" t="inlineStr">
        <is>
          <t>流动比率</t>
        </is>
      </c>
      <c r="B8" s="5" t="n">
        <v>5.45</v>
      </c>
      <c r="C8" s="3">
        <f>(B8-G8)/G8</f>
        <v/>
      </c>
      <c r="D8" t="inlineStr">
        <is>
          <t>mootdx</t>
        </is>
      </c>
      <c r="G8" s="8" t="n">
        <v>5.2</v>
      </c>
    </row>
    <row r="9">
      <c r="A9" s="2" t="inlineStr">
        <is>
          <t>速动比率</t>
        </is>
      </c>
      <c r="B9" s="5" t="n">
        <v>4.36</v>
      </c>
      <c r="C9" s="3">
        <f>(B9-G9)/G9</f>
        <v/>
      </c>
      <c r="D9" t="inlineStr">
        <is>
          <t>mootdx</t>
        </is>
      </c>
      <c r="G9" s="8" t="n">
        <v>4.1</v>
      </c>
    </row>
    <row r="10">
      <c r="A10" s="2" t="inlineStr">
        <is>
          <t>存货周转天数</t>
        </is>
      </c>
      <c r="B10" t="n">
        <v>1240</v>
      </c>
      <c r="C10" s="3">
        <f>(B10-G10)/G10</f>
        <v/>
      </c>
      <c r="D10" t="inlineStr">
        <is>
          <t>mootdx</t>
        </is>
      </c>
      <c r="G10" s="8" t="n">
        <v>1320</v>
      </c>
    </row>
    <row r="11">
      <c r="A11" s="2" t="inlineStr">
        <is>
          <t>应收周转天数</t>
        </is>
      </c>
      <c r="B11" t="n">
        <v>5</v>
      </c>
      <c r="C11" s="3">
        <f>(B11-G11)/G11</f>
        <v/>
      </c>
      <c r="D11" t="inlineStr">
        <is>
          <t>mootdx</t>
        </is>
      </c>
      <c r="G11" s="8" t="n">
        <v>6</v>
      </c>
    </row>
    <row r="12">
      <c r="A12" s="2" t="inlineStr">
        <is>
          <t>基本 EPS</t>
        </is>
      </c>
      <c r="B12" t="n">
        <v>12.9</v>
      </c>
      <c r="C12" s="3">
        <f>(B12-G12)/G12</f>
        <v/>
      </c>
      <c r="D12" t="inlineStr">
        <is>
          <t>mootdx</t>
        </is>
      </c>
      <c r="G12" s="8" t="n">
        <v>11.5</v>
      </c>
    </row>
    <row r="13">
      <c r="A13" s="2" t="inlineStr">
        <is>
          <t>每股净资产</t>
        </is>
      </c>
      <c r="B13" t="n">
        <v>193.5</v>
      </c>
      <c r="C13" s="3">
        <f>(B13-G13)/G13</f>
        <v/>
      </c>
      <c r="D13" t="inlineStr">
        <is>
          <t>mootdx</t>
        </is>
      </c>
      <c r="G13" s="8" t="n">
        <v>185</v>
      </c>
    </row>
    <row r="14">
      <c r="A14" s="2" t="inlineStr">
        <is>
          <t>每股经营性现金流</t>
        </is>
      </c>
      <c r="B14" t="n">
        <v>5.45</v>
      </c>
      <c r="C14" s="3">
        <f>(B14-G14)/G14</f>
        <v/>
      </c>
      <c r="D14" t="inlineStr">
        <is>
          <t>mootdx</t>
        </is>
      </c>
      <c r="G14" s="8" t="n">
        <v>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来源</t>
        </is>
      </c>
    </row>
    <row r="2">
      <c r="A2" t="inlineStr">
        <is>
          <t>北向净买入(5 日, 亿元)</t>
        </is>
      </c>
      <c r="B2" t="n">
        <v>12</v>
      </c>
      <c r="C2" t="inlineStr">
        <is>
          <t>eastmoney</t>
        </is>
      </c>
    </row>
    <row r="3">
      <c r="A3" t="inlineStr">
        <is>
          <t>北向净买入(20 日, 亿元)</t>
        </is>
      </c>
      <c r="B3" t="n">
        <v>34.5</v>
      </c>
      <c r="C3" t="inlineStr">
        <is>
          <t>eastmoney</t>
        </is>
      </c>
    </row>
    <row r="4">
      <c r="A4" t="inlineStr">
        <is>
          <t>北向持股(万股)</t>
        </is>
      </c>
      <c r="B4" t="n">
        <v>9850</v>
      </c>
      <c r="C4" t="inlineStr">
        <is>
          <t>eastmoney</t>
        </is>
      </c>
    </row>
    <row r="5">
      <c r="A5" t="inlineStr">
        <is>
          <t>北向持股比例</t>
        </is>
      </c>
      <c r="B5" s="5" t="n">
        <v>0.0784</v>
      </c>
      <c r="C5" t="inlineStr">
        <is>
          <t>eastmoney</t>
        </is>
      </c>
    </row>
    <row r="7">
      <c r="A7" s="4">
        <f>== 财务健康度评分（跨 sheet）===</f>
        <v/>
      </c>
    </row>
    <row r="8">
      <c r="A8" s="2" t="inlineStr">
        <is>
          <t>ROE 贡献（40%）</t>
        </is>
      </c>
      <c r="B8" s="5">
        <f>'3_季报关键指标'!B5*0.4</f>
        <v/>
      </c>
    </row>
    <row r="9">
      <c r="A9" s="2" t="inlineStr">
        <is>
          <t>资产负债率反向贡献（30%）</t>
        </is>
      </c>
      <c r="B9" s="5">
        <f>(1-'3_季报关键指标'!B7)*0.3</f>
        <v/>
      </c>
    </row>
    <row r="10">
      <c r="A10" s="2" t="inlineStr">
        <is>
          <t>毛利率贡献（20%）</t>
        </is>
      </c>
      <c r="B10" s="5">
        <f>'3_季报关键指标'!B4*0.2</f>
        <v/>
      </c>
    </row>
    <row r="11">
      <c r="A11" s="2" t="inlineStr">
        <is>
          <t>流动比率归一贡献（10%）</t>
        </is>
      </c>
      <c r="B11" s="5">
        <f>MIN('3_季报关键指标'!B8/10,1)*0.1</f>
        <v/>
      </c>
    </row>
    <row r="12">
      <c r="A12" s="9" t="inlineStr">
        <is>
          <t>财务健康度总分</t>
        </is>
      </c>
      <c r="B12" s="10">
        <f>SUM(B8:B11)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维度</t>
        </is>
      </c>
      <c r="B1" s="1" t="inlineStr">
        <is>
          <t>评分</t>
        </is>
      </c>
      <c r="C1" s="1" t="inlineStr">
        <is>
          <t>权重</t>
        </is>
      </c>
      <c r="D1" s="1" t="inlineStr">
        <is>
          <t>加权得分</t>
        </is>
      </c>
      <c r="E1" s="1" t="inlineStr">
        <is>
          <t>来源</t>
        </is>
      </c>
    </row>
    <row r="2">
      <c r="A2" t="inlineStr">
        <is>
          <t>估值合理性</t>
        </is>
      </c>
      <c r="B2" s="6">
        <f>'1_估值快照'!B9</f>
        <v/>
      </c>
      <c r="C2" t="n">
        <v>0.2</v>
      </c>
      <c r="D2">
        <f>B2*C2</f>
        <v/>
      </c>
      <c r="E2" t="inlineStr">
        <is>
          <t>PE/行业 PE</t>
        </is>
      </c>
    </row>
    <row r="3">
      <c r="A3" t="inlineStr">
        <is>
          <t>财务健康</t>
        </is>
      </c>
      <c r="B3" s="5">
        <f>'4_资金流与持仓'!B12</f>
        <v/>
      </c>
      <c r="C3" t="n">
        <v>0.3</v>
      </c>
      <c r="D3">
        <f>B3*C3</f>
        <v/>
      </c>
      <c r="E3" t="inlineStr">
        <is>
          <t>Sheet 4 总分</t>
        </is>
      </c>
    </row>
    <row r="4">
      <c r="A4" t="inlineStr">
        <is>
          <t>业绩同比</t>
        </is>
      </c>
      <c r="B4" s="5">
        <f>'3_季报关键指标'!C2</f>
        <v/>
      </c>
      <c r="C4" t="n">
        <v>0.2</v>
      </c>
      <c r="D4">
        <f>B4*C4</f>
        <v/>
      </c>
      <c r="E4" t="inlineStr">
        <is>
          <t>Sheet 3 营收同比差</t>
        </is>
      </c>
    </row>
    <row r="5">
      <c r="A5" t="inlineStr">
        <is>
          <t>资金面（北向）</t>
        </is>
      </c>
      <c r="B5" s="5">
        <f>'4_资金流与持仓'!B5</f>
        <v/>
      </c>
      <c r="C5" t="n">
        <v>0.15</v>
      </c>
      <c r="D5">
        <f>B5*C5</f>
        <v/>
      </c>
      <c r="E5" t="inlineStr">
        <is>
          <t>Sheet 4 持股比例</t>
        </is>
      </c>
    </row>
    <row r="6">
      <c r="A6" t="inlineStr">
        <is>
          <t>分析师一致预期</t>
        </is>
      </c>
      <c r="B6" s="11">
        <f>'1_估值快照'!B11</f>
        <v/>
      </c>
      <c r="C6" t="n">
        <v>0.15</v>
      </c>
      <c r="D6">
        <f>B6*C6</f>
        <v/>
      </c>
      <c r="E6" t="inlineStr">
        <is>
          <t>目标价中位数 / 当前价</t>
        </is>
      </c>
    </row>
    <row r="7">
      <c r="A7" s="12" t="inlineStr">
        <is>
          <t>综合得分</t>
        </is>
      </c>
      <c r="B7" s="13">
        <f>SUM(D2:D6)</f>
        <v/>
      </c>
    </row>
    <row r="8">
      <c r="A8" s="14" t="inlineStr">
        <is>
          <t>投资建议</t>
        </is>
      </c>
      <c r="B8" s="15">
        <f>IF(B7&gt;0.6,"强烈推荐",IF(B7&gt;0.4,"推荐",IF(B7&gt;0.2,"中性","回避")))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2026-08-26T07:35:37Z</dcterms:created>
  <dcterms:modified xmlns:dcterms="http://purl.org/dc/terms/" xmlns:xsi="http://www.w3.org/2001/XMLSchema-instance" xsi:type="dcterms:W3CDTF">2026-08-26T07:35:37Z</dcterms:modified>
</cp:coreProperties>
</file>